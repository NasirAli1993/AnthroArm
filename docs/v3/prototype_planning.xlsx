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1eaa299f5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e finger BOM" sheetId="1" r:id="R5777581f672b451d"/>
    <x:sheet xmlns:r="http://schemas.openxmlformats.org/officeDocument/2006/relationships" name="Full arm plan" sheetId="2" r:id="Rfa8b42ad66dc4089"/>
    <x:sheet xmlns:r="http://schemas.openxmlformats.org/officeDocument/2006/relationships" name="Actuator sizing" sheetId="3" r:id="R869eabfdf71e45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4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D4A"/>
      </x:patternFill>
    </x:fill>
    <x:fill>
      <x:patternFill patternType="solid">
        <x:fgColor rgb="FFFFF2C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c5bf77bea74183" /><Relationship Type="http://schemas.openxmlformats.org/officeDocument/2006/relationships/theme" Target="/xl/theme/theme1.xml" Id="R2441b5161d844183" /><Relationship Type="http://schemas.openxmlformats.org/officeDocument/2006/relationships/sharedStrings" Target="/xl/sharedStrings.xml" Id="Rbdcbe9bc95554d53" /><Relationship Type="http://schemas.openxmlformats.org/officeDocument/2006/relationships/worksheet" Target="/xl/worksheets/sheet1.xml" Id="R5777581f672b451d" /><Relationship Type="http://schemas.openxmlformats.org/officeDocument/2006/relationships/worksheet" Target="/xl/worksheets/sheet2.xml" Id="Rfa8b42ad66dc4089" /><Relationship Type="http://schemas.openxmlformats.org/officeDocument/2006/relationships/worksheet" Target="/xl/worksheets/sheet3.xml" Id="R869eabfdf71e4551" /></Relationships>
</file>

<file path=xl/theme/theme1.xml><?xml version="1.0" encoding="utf-8"?>
<a:theme xmlns:a="http://schemas.openxmlformats.org/drawingml/2006/main" name="AnthroArm">
  <a:themeElements>
    <a:clrScheme name="AnthroArm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nthroArm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10" hidden="0" customWidth="1"/>
    <x:col min="3" max="3" width="27" hidden="0" customWidth="1"/>
    <x:col min="4" max="4" width="44" hidden="0" customWidth="1"/>
    <x:col min="5" max="5" width="47" hidden="0" customWidth="1"/>
    <x:col min="6" max="6" width="10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One finger prototype bill of materials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 t="str">
        <x:v>Planning quantities; unselected items need an engineering specification. No purchases made.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0" customHeight="1">
      <x:c r="A6" s="6" t="str">
        <x:v>Part or requirement</x:v>
      </x:c>
      <x:c r="B6" s="6" t="str">
        <x:v>Qty</x:v>
      </x:c>
      <x:c r="C6" s="6" t="str">
        <x:v>Function</x:v>
      </x:c>
      <x:c r="D6" s="6" t="str">
        <x:v>Electrical / mechanical specification</x:v>
      </x:c>
      <x:c r="E6" s="6" t="str">
        <x:v>Selection or fit note</x:v>
      </x:c>
      <x:c r="F6" s="6" t="str">
        <x:v>Primary source / provenance</x:v>
      </x:c>
      <x:c r="G6" s="2"/>
      <x:c r="H6" s="2"/>
      <x:c r="I6" s="2"/>
      <x:c r="J6" s="2"/>
      <x:c r="K6" s="2"/>
      <x:c r="L6" s="2"/>
      <x:c r="M6" s="2"/>
      <x:c r="N6" s="2"/>
      <x:c r="O6" s="2"/>
    </x:row>
    <x:row r="7" ht="55" customHeight="1">
      <x:c r="A7" s="7" t="str">
        <x:v>UNO R3</x:v>
      </x:c>
      <x:c r="B7" s="8" t="n">
        <x:v>1</x:v>
      </x:c>
      <x:c r="C7" s="7" t="str">
        <x:v>USB serial controller; D9 command</x:v>
      </x:c>
      <x:c r="D7" s="7" t="str">
        <x:v>5 V logic; USB board power</x:v>
      </x:c>
      <x:c r="E7" s="7" t="str">
        <x:v>Do not power servo through board</x:v>
      </x:c>
      <x:c r="F7" s="2" t="str">
        <x:v>https://docs.arduino.cc/hardware/uno-rev3/</x:v>
      </x:c>
      <x:c r="G7" s="2"/>
      <x:c r="H7" s="2"/>
      <x:c r="I7" s="2"/>
      <x:c r="J7" s="2"/>
      <x:c r="K7" s="2"/>
      <x:c r="L7" s="2"/>
      <x:c r="M7" s="2"/>
      <x:c r="N7" s="2"/>
      <x:c r="O7" s="2"/>
    </x:row>
    <x:row r="8" ht="55" customHeight="1">
      <x:c r="A8" s="7" t="str">
        <x:v>Hitec D645MW</x:v>
      </x:c>
      <x:c r="B8" s="8" t="n">
        <x:v>1</x:v>
      </x:c>
      <x:c r="C8" s="7" t="str">
        <x:v>Tendon actuator</x:v>
      </x:c>
      <x:c r="D8" s="7" t="str">
        <x:v>6 V chosen; 2.15 A stall at 6 V</x:v>
      </x:c>
      <x:c r="E8" s="7" t="str">
        <x:v>11.3 kgf cm stall is not continuous torque</x:v>
      </x:c>
      <x:c r="F8" s="2" t="str">
        <x:v>https://www.hiteccs.com/public/uploads/data_sheet/HCS_D645MW_Specsheetv2.2_102-1729815560.pdf</x:v>
      </x:c>
      <x:c r="G8" s="2"/>
      <x:c r="H8" s="2"/>
      <x:c r="I8" s="2"/>
      <x:c r="J8" s="2"/>
      <x:c r="K8" s="2"/>
      <x:c r="L8" s="2"/>
      <x:c r="M8" s="2"/>
      <x:c r="N8" s="2"/>
      <x:c r="O8" s="2"/>
    </x:row>
    <x:row r="9" ht="55" customHeight="1">
      <x:c r="A9" s="7" t="str">
        <x:v>Current-limited bench supply</x:v>
      </x:c>
      <x:c r="B9" s="8" t="n">
        <x:v>1</x:v>
      </x:c>
      <x:c r="C9" s="7" t="str">
        <x:v>Dedicated motor power</x:v>
      </x:c>
      <x:c r="D9" s="7" t="str">
        <x:v>Set 6.0 V; capacity and limits reviewed</x:v>
      </x:c>
      <x:c r="E9" s="7" t="str">
        <x:v>RIGOL DP711 example: 0–30 V / 0–5 A</x:v>
      </x:c>
      <x:c r="F9" s="2" t="str">
        <x:v>https://www.rigol.com/dam/global/downloads/brochures/en/data-sheet/dc-powers/DP700_DataSheet_EN.pdf</x:v>
      </x:c>
      <x:c r="G9" s="2"/>
      <x:c r="H9" s="2"/>
      <x:c r="I9" s="2"/>
      <x:c r="J9" s="2"/>
      <x:c r="K9" s="2"/>
      <x:c r="L9" s="2"/>
      <x:c r="M9" s="2"/>
      <x:c r="N9" s="2"/>
      <x:c r="O9" s="2"/>
    </x:row>
    <x:row r="10" ht="55" customHeight="1">
      <x:c r="A10" s="7" t="str">
        <x:v>USB A-to-B data cable</x:v>
      </x:c>
      <x:c r="B10" s="8" t="n">
        <x:v>1</x:v>
      </x:c>
      <x:c r="C10" s="7" t="str">
        <x:v>PC to UNO R3</x:v>
      </x:c>
      <x:c r="D10" s="7" t="str">
        <x:v>USB board power and serial data</x:v>
      </x:c>
      <x:c r="E10" s="7" t="str">
        <x:v>Correct connector and data-capable cable</x:v>
      </x:c>
      <x:c r="F10" s="2" t="str">
        <x:v>https://docs.arduino.cc/hardware/uno-rev3/</x:v>
      </x:c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55" customHeight="1">
      <x:c r="A11" s="7" t="str">
        <x:v>USB webcam</x:v>
      </x:c>
      <x:c r="B11" s="8" t="n">
        <x:v>1</x:v>
      </x:c>
      <x:c r="C11" s="7" t="str">
        <x:v>Optional camera imitation</x:v>
      </x:c>
      <x:c r="D11" s="7" t="str">
        <x:v>USB power; exact model not selected</x:v>
      </x:c>
      <x:c r="E11" s="7" t="str">
        <x:v>Optional for first mechanical test</x:v>
      </x:c>
      <x:c r="F11" s="2" t="str">
        <x:v>Design requirement; no vendor selection</x:v>
      </x:c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55" customHeight="1">
      <x:c r="A12" s="7" t="str">
        <x:v>Inline fuse and holder F1</x:v>
      </x:c>
      <x:c r="B12" s="8" t="n">
        <x:v>1</x:v>
      </x:c>
      <x:c r="C12" s="7" t="str">
        <x:v>Protect servo supply branch</x:v>
      </x:c>
      <x:c r="D12" s="7" t="str">
        <x:v>Rating TBD from harness and startup current</x:v>
      </x:c>
      <x:c r="E12" s="7" t="str">
        <x:v>Fuse value is not established by this plan</x:v>
      </x:c>
      <x:c r="F12" s="2" t="str">
        <x:v>Engineering selection required</x:v>
      </x:c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55" customHeight="1">
      <x:c r="A13" s="7" t="str">
        <x:v>Latching NC motor-stop S1</x:v>
      </x:c>
      <x:c r="B13" s="8" t="n">
        <x:v>1</x:v>
      </x:c>
      <x:c r="C13" s="7" t="str">
        <x:v>Physically interrupt motor power</x:v>
      </x:c>
      <x:c r="D13" s="7" t="str">
        <x:v>DC motor-load rating to be selected</x:v>
      </x:c>
      <x:c r="E13" s="7" t="str">
        <x:v>AC/resistive contact rating is insufficient evidence</x:v>
      </x:c>
      <x:c r="F13" s="2" t="str">
        <x:v>Engineering selection required</x:v>
      </x:c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55" customHeight="1">
      <x:c r="A14" s="7" t="str">
        <x:v>Power wire / connectors</x:v>
      </x:c>
      <x:c r="B14" s="8" t="n">
        <x:v>1</x:v>
      </x:c>
      <x:c r="C14" s="7" t="str">
        <x:v>Dedicated servo + and ground return</x:v>
      </x:c>
      <x:c r="D14" s="7" t="str">
        <x:v>Gauge and connector ampacity TBD</x:v>
      </x:c>
      <x:c r="E14" s="7" t="str">
        <x:v>Size from length, current, heat and voltage drop</x:v>
      </x:c>
      <x:c r="F14" s="2" t="str">
        <x:v>Engineering selection required</x:v>
      </x:c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55" customHeight="1">
      <x:c r="A15" s="7" t="str">
        <x:v>Signal / ground-reference leads</x:v>
      </x:c>
      <x:c r="B15" s="8" t="n">
        <x:v>2</x:v>
      </x:c>
      <x:c r="C15" s="7" t="str">
        <x:v>D9-to-S and UNO-to-common-ground</x:v>
      </x:c>
      <x:c r="D15" s="7" t="str">
        <x:v>Signal only; no servo power path</x:v>
      </x:c>
      <x:c r="E15" s="7" t="str">
        <x:v>Observe S/+/- connector labels</x:v>
      </x:c>
      <x:c r="F15" s="2" t="str">
        <x:v>https://content.arduino.cc/assets/Pinout-UNOrev3_latest.pdf</x:v>
      </x:c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55" customHeight="1">
      <x:c r="A16" s="7" t="str">
        <x:v>Printable three-segment finger</x:v>
      </x:c>
      <x:c r="B16" s="8" t="n">
        <x:v>1</x:v>
      </x:c>
      <x:c r="C16" s="7" t="str">
        <x:v>Bench mechanical test article</x:v>
      </x:c>
      <x:c r="D16" s="7" t="str">
        <x:v>No electrical rating</x:v>
      </x:c>
      <x:c r="E16" s="7" t="str">
        <x:v>40 / 24 / 18 mm nominal segments; fit review required</x:v>
      </x:c>
      <x:c r="F16" s="2" t="str">
        <x:v>Project design/v3/printable_finger</x:v>
      </x:c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55" customHeight="1">
      <x:c r="A17" s="7" t="str">
        <x:v>M2 hinge pins and retainers</x:v>
      </x:c>
      <x:c r="B17" s="8" t="n">
        <x:v>3</x:v>
      </x:c>
      <x:c r="C17" s="7" t="str">
        <x:v>Three flexion hinges</x:v>
      </x:c>
      <x:c r="D17" s="7" t="str">
        <x:v>No electrical rating</x:v>
      </x:c>
      <x:c r="E17" s="7" t="str">
        <x:v>2.3 mm CAD bores; verify printed fit and retention</x:v>
      </x:c>
      <x:c r="F17" s="2" t="str">
        <x:v>Project candidate geometry</x:v>
      </x:c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55" customHeight="1">
      <x:c r="A18" s="7" t="str">
        <x:v>Flexor tendon</x:v>
      </x:c>
      <x:c r="B18" s="8" t="n">
        <x:v>1</x:v>
      </x:c>
      <x:c r="C18" s="7" t="str">
        <x:v>Couple the flexion hinges</x:v>
      </x:c>
      <x:c r="D18" s="7" t="str">
        <x:v>Strength / diameter to be selected</x:v>
      </x:c>
      <x:c r="E18" s="7" t="str">
        <x:v>Fit 1.4 mm guide channels; rounded routing</x:v>
      </x:c>
      <x:c r="F18" s="2" t="str">
        <x:v>Project candidate geometry</x:v>
      </x:c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55" customHeight="1">
      <x:c r="A19" s="7" t="str">
        <x:v>External elastic return</x:v>
      </x:c>
      <x:c r="B19" s="8" t="n">
        <x:v>1</x:v>
      </x:c>
      <x:c r="C19" s="7" t="str">
        <x:v>Open finger as tendon releases</x:v>
      </x:c>
      <x:c r="D19" s="7" t="str">
        <x:v>Spring rate / preload to be selected</x:v>
      </x:c>
      <x:c r="E19" s="7" t="str">
        <x:v>Measure return force and fatigue; keep guarded</x:v>
      </x:c>
      <x:c r="F19" s="2" t="str">
        <x:v>Engineering selection required</x:v>
      </x:c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55" customHeight="1">
      <x:c r="A20" s="7" t="str">
        <x:v>Purchased 25T horn</x:v>
      </x:c>
      <x:c r="B20" s="8" t="n">
        <x:v>1</x:v>
      </x:c>
      <x:c r="C20" s="7" t="str">
        <x:v>Match servo output spline</x:v>
      </x:c>
      <x:c r="D20" s="7" t="str">
        <x:v>25T / nominal 6 mm spline</x:v>
      </x:c>
      <x:c r="E20" s="7" t="str">
        <x:v>Custom spool bolts to horn; no printed spline</x:v>
      </x:c>
      <x:c r="F20" s="2" t="str">
        <x:v>https://www.hiteccs.com/public/uploads/data_sheet/HCS_D645MW_Specsheetv2.2_102-1729815560.pdf</x:v>
      </x:c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55" customHeight="1">
      <x:c r="A21" s="7" t="str">
        <x:v>7 mm-radius tendon spool</x:v>
      </x:c>
      <x:c r="B21" s="8" t="n">
        <x:v>1</x:v>
      </x:c>
      <x:c r="C21" s="7" t="str">
        <x:v>Convert rotation to tendon travel</x:v>
      </x:c>
      <x:c r="D21" s="7" t="str">
        <x:v>No electrical rating</x:v>
      </x:c>
      <x:c r="E21" s="7" t="str">
        <x:v>Approx. 14.7 mm travel over 120 degrees</x:v>
      </x:c>
      <x:c r="F21" s="2" t="str">
        <x:v>Project candidate geometry</x:v>
      </x:c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55" customHeight="1">
      <x:c r="A22" s="7" t="str">
        <x:v>Servo cradle and bench base</x:v>
      </x:c>
      <x:c r="B22" s="8" t="n">
        <x:v>1</x:v>
      </x:c>
      <x:c r="C22" s="7" t="str">
        <x:v>Support servo and finger</x:v>
      </x:c>
      <x:c r="D22" s="7" t="str">
        <x:v>40.8 x 20.0 x 37.8 mm servo body</x:v>
      </x:c>
      <x:c r="E22" s="7" t="str">
        <x:v>Measure flange / screw spacing before printing</x:v>
      </x:c>
      <x:c r="F22" s="2" t="str">
        <x:v>https://www.hiteccs.com/public/uploads/data_sheet/HCS_D645MW_Specsheetv2.2_102-1729815560.pdf</x:v>
      </x:c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55" customHeight="1">
      <x:c r="A23" s="7" t="str">
        <x:v>Fasteners / washers / guards</x:v>
      </x:c>
      <x:c r="B23" s="8" t="n">
        <x:v>1</x:v>
      </x:c>
      <x:c r="C23" s="7" t="str">
        <x:v>Retain joints and protect pinch points</x:v>
      </x:c>
      <x:c r="D23" s="7" t="str">
        <x:v>Dimensions and strength TBD</x:v>
      </x:c>
      <x:c r="E23" s="7" t="str">
        <x:v>Quantity is one assembly kit; item counts in final drawing</x:v>
      </x:c>
      <x:c r="F23" s="2" t="str">
        <x:v>Engineering selection required</x:v>
      </x:c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55" customHeight="1">
      <x:c r="A24" s="7" t="str">
        <x:v>Multimeter / current measurement</x:v>
      </x:c>
      <x:c r="B24" s="8" t="n">
        <x:v>1</x:v>
      </x:c>
      <x:c r="C24" s="7" t="str">
        <x:v>Check polarity, supply and motor current</x:v>
      </x:c>
      <x:c r="D24" s="7" t="str">
        <x:v>Range suitable for chosen 6 V circuit</x:v>
      </x:c>
      <x:c r="E24" s="7" t="str">
        <x:v>Bench supply readback supplements a meter</x:v>
      </x:c>
      <x:c r="F24" s="2" t="str">
        <x:v>Test equipment requirement</x:v>
      </x:c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10" hidden="0" customWidth="1"/>
    <x:col min="3" max="3" width="27" hidden="0" customWidth="1"/>
    <x:col min="4" max="4" width="44" hidden="0" customWidth="1"/>
    <x:col min="5" max="5" width="47" hidden="0" customWidth="1"/>
    <x:col min="6" max="6" width="10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Full arm subsystem plan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 t="str">
        <x:v>Planning quantities; unselected items need an engineering specification. No purchases made.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0" customHeight="1">
      <x:c r="A6" s="6" t="str">
        <x:v>Subsystem / reference</x:v>
      </x:c>
      <x:c r="B6" s="6" t="str">
        <x:v>Qty</x:v>
      </x:c>
      <x:c r="C6" s="6" t="str">
        <x:v>Quantity basis</x:v>
      </x:c>
      <x:c r="D6" s="6" t="str">
        <x:v>Scope</x:v>
      </x:c>
      <x:c r="E6" s="6" t="str">
        <x:v>Sizing or verification needed</x:v>
      </x:c>
      <x:c r="F6" s="6" t="str">
        <x:v>Selection status / primary source</x:v>
      </x:c>
      <x:c r="G6" s="2"/>
      <x:c r="H6" s="2"/>
      <x:c r="I6" s="2"/>
      <x:c r="J6" s="2"/>
      <x:c r="K6" s="2"/>
      <x:c r="L6" s="2"/>
      <x:c r="M6" s="2"/>
      <x:c r="N6" s="2"/>
      <x:c r="O6" s="2"/>
    </x:row>
    <x:row r="7" ht="55" customHeight="1">
      <x:c r="A7" s="7" t="str">
        <x:v>Arm joint actuators</x:v>
      </x:c>
      <x:c r="B7" s="8" t="n">
        <x:v>7</x:v>
      </x:c>
      <x:c r="C7" s="7" t="str">
        <x:v>Candidate only</x:v>
      </x:c>
      <x:c r="D7" s="7" t="str">
        <x:v>One drive per virtual arm axis if independently built</x:v>
      </x:c>
      <x:c r="E7" s="7" t="str">
        <x:v>Continuous/peak torque; speed; duty; braking</x:v>
      </x:c>
      <x:c r="F7" s="2" t="str">
        <x:v>No motor selected</x:v>
      </x:c>
      <x:c r="G7" s="2"/>
      <x:c r="H7" s="2"/>
      <x:c r="I7" s="2"/>
      <x:c r="J7" s="2"/>
      <x:c r="K7" s="2"/>
      <x:c r="L7" s="2"/>
      <x:c r="M7" s="2"/>
      <x:c r="N7" s="2"/>
      <x:c r="O7" s="2"/>
    </x:row>
    <x:row r="8" ht="55" customHeight="1">
      <x:c r="A8" s="7" t="str">
        <x:v>Hand drive mechanisms</x:v>
      </x:c>
      <x:c r="B8" s="8" t="n">
        <x:v>20</x:v>
      </x:c>
      <x:c r="C8" s="7" t="str">
        <x:v>Architecture pending</x:v>
      </x:c>
      <x:c r="D8" s="7" t="str">
        <x:v>20 virtual axes; physical motor count may differ</x:v>
      </x:c>
      <x:c r="E8" s="7" t="str">
        <x:v>Tendon routes; gear ratios; coupling; force limits</x:v>
      </x:c>
      <x:c r="F8" s="2" t="str">
        <x:v>No motor selected</x:v>
      </x:c>
      <x:c r="G8" s="2"/>
      <x:c r="H8" s="2"/>
      <x:c r="I8" s="2"/>
      <x:c r="J8" s="2"/>
      <x:c r="K8" s="2"/>
      <x:c r="L8" s="2"/>
      <x:c r="M8" s="2"/>
      <x:c r="N8" s="2"/>
      <x:c r="O8" s="2"/>
    </x:row>
    <x:row r="9" ht="55" customHeight="1">
      <x:c r="A9" s="7" t="str">
        <x:v>Joint bearings / shafts</x:v>
      </x:c>
      <x:c r="B9" s="8" t="n">
        <x:v>27</x:v>
      </x:c>
      <x:c r="C9" s="7" t="str">
        <x:v>Reference axes</x:v>
      </x:c>
      <x:c r="D9" s="7" t="str">
        <x:v>Actual bearing count depends on mechanical design</x:v>
      </x:c>
      <x:c r="E9" s="7" t="str">
        <x:v>Radial/axial loads; pin fits; retention</x:v>
      </x:c>
      <x:c r="F9" s="2" t="str">
        <x:v>Drawing required</x:v>
      </x:c>
      <x:c r="G9" s="2"/>
      <x:c r="H9" s="2"/>
      <x:c r="I9" s="2"/>
      <x:c r="J9" s="2"/>
      <x:c r="K9" s="2"/>
      <x:c r="L9" s="2"/>
      <x:c r="M9" s="2"/>
      <x:c r="N9" s="2"/>
      <x:c r="O9" s="2"/>
    </x:row>
    <x:row r="10" ht="55" customHeight="1">
      <x:c r="A10" s="7" t="str">
        <x:v>Encoders / feedback</x:v>
      </x:c>
      <x:c r="B10" s="8" t="n">
        <x:v>27</x:v>
      </x:c>
      <x:c r="C10" s="7" t="str">
        <x:v>Reference axes</x:v>
      </x:c>
      <x:c r="D10" s="7" t="str">
        <x:v>Independent sensing depends on transmission design</x:v>
      </x:c>
      <x:c r="E10" s="7" t="str">
        <x:v>Resolution; backlash; calibration; absolute reference</x:v>
      </x:c>
      <x:c r="F10" s="2" t="str">
        <x:v>Sensor selection required</x:v>
      </x:c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55" customHeight="1">
      <x:c r="A11" s="7" t="str">
        <x:v>Gravity holding / support</x:v>
      </x:c>
      <x:c r="B11" s="8" t="n">
        <x:v>1</x:v>
      </x:c>
      <x:c r="C11" s="7" t="str">
        <x:v>Subsystem</x:v>
      </x:c>
      <x:c r="D11" s="7" t="str">
        <x:v>Brakes or mechanical supports for gravity-loaded links</x:v>
      </x:c>
      <x:c r="E11" s="7" t="str">
        <x:v>Power-loss behavior; holding torque; release logic</x:v>
      </x:c>
      <x:c r="F11" s="2" t="str">
        <x:v>Load review required</x:v>
      </x:c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55" customHeight="1">
      <x:c r="A12" s="7" t="str">
        <x:v>Motor power distribution</x:v>
      </x:c>
      <x:c r="B12" s="8" t="n">
        <x:v>1</x:v>
      </x:c>
      <x:c r="C12" s="7" t="str">
        <x:v>Subsystem</x:v>
      </x:c>
      <x:c r="D12" s="7" t="str">
        <x:v>Fused supply branches and rated distribution</x:v>
      </x:c>
      <x:c r="E12" s="7" t="str">
        <x:v>Peak/continuous current; bus voltage; wiring; inrush</x:v>
      </x:c>
      <x:c r="F12" s="2" t="str">
        <x:v>Electrical design required</x:v>
      </x:c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55" customHeight="1">
      <x:c r="A13" s="7" t="str">
        <x:v>Motor stop / enable circuit</x:v>
      </x:c>
      <x:c r="B13" s="8" t="n">
        <x:v>1</x:v>
      </x:c>
      <x:c r="C13" s="7" t="str">
        <x:v>Subsystem</x:v>
      </x:c>
      <x:c r="D13" s="7" t="str">
        <x:v>Physical stop cuts drive energy as designed</x:v>
      </x:c>
      <x:c r="E13" s="7" t="str">
        <x:v>DC fault interruption; reset behavior; drop prevention</x:v>
      </x:c>
      <x:c r="F13" s="2" t="str">
        <x:v>Machine safety review required</x:v>
      </x:c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55" customHeight="1">
      <x:c r="A14" s="7" t="str">
        <x:v>Embedded drive controllers</x:v>
      </x:c>
      <x:c r="B14" s="8" t="n">
        <x:v>1</x:v>
      </x:c>
      <x:c r="C14" s="7" t="str">
        <x:v>Subsystem</x:v>
      </x:c>
      <x:c r="D14" s="7" t="str">
        <x:v>Bus/axis count depends on selected motors</x:v>
      </x:c>
      <x:c r="E14" s="7" t="str">
        <x:v>Real-time timing; watchdogs; current/temperature feedback</x:v>
      </x:c>
      <x:c r="F14" s="2" t="str">
        <x:v>Controller design required</x:v>
      </x:c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55" customHeight="1">
      <x:c r="A15" s="7" t="str">
        <x:v>Camera and illumination</x:v>
      </x:c>
      <x:c r="B15" s="8" t="n">
        <x:v>1</x:v>
      </x:c>
      <x:c r="C15" s="7" t="str">
        <x:v>Subsystem</x:v>
      </x:c>
      <x:c r="D15" s="7" t="str">
        <x:v>USB webcam for imitation; depth option for autonomy</x:v>
      </x:c>
      <x:c r="E15" s="7" t="str">
        <x:v>Intrinsics; extrinsics; depth accuracy; timestamps</x:v>
      </x:c>
      <x:c r="F15" s="2" t="str">
        <x:v>Camera selection required</x:v>
      </x:c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55" customHeight="1">
      <x:c r="A16" s="7" t="str">
        <x:v>PC / simulation host</x:v>
      </x:c>
      <x:c r="B16" s="8" t="n">
        <x:v>1</x:v>
      </x:c>
      <x:c r="C16" s="7" t="str">
        <x:v>Existing host</x:v>
      </x:c>
      <x:c r="D16" s="7" t="str">
        <x:v>Vision, planning, logging and interface</x:v>
      </x:c>
      <x:c r="E16" s="7" t="str">
        <x:v>Verify latency and throughput with actual sensors</x:v>
      </x:c>
      <x:c r="F16" s="2" t="str">
        <x:v>Existing computer reused</x:v>
      </x:c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55" customHeight="1">
      <x:c r="A17" s="7" t="str">
        <x:v>End contact / force sensing</x:v>
      </x:c>
      <x:c r="B17" s="8" t="n">
        <x:v>1</x:v>
      </x:c>
      <x:c r="C17" s="7" t="str">
        <x:v>Subsystem</x:v>
      </x:c>
      <x:c r="D17" s="7" t="str">
        <x:v>Optional sensors chosen after grasp requirements</x:v>
      </x:c>
      <x:c r="E17" s="7" t="str">
        <x:v>Force range; overload; drift; calibration</x:v>
      </x:c>
      <x:c r="F17" s="2" t="str">
        <x:v>Sensor selection required</x:v>
      </x:c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55" customHeight="1">
      <x:c r="A18" s="7" t="str">
        <x:v>Arm structure / guards / base</x:v>
      </x:c>
      <x:c r="B18" s="8" t="n">
        <x:v>1</x:v>
      </x:c>
      <x:c r="C18" s="7" t="str">
        <x:v>Assembly</x:v>
      </x:c>
      <x:c r="D18" s="7" t="str">
        <x:v>Load-bearing structure with bolted mounting</x:v>
      </x:c>
      <x:c r="E18" s="7" t="str">
        <x:v>Material; fatigue; deflection; fasteners; anchors</x:v>
      </x:c>
      <x:c r="F18" s="2" t="str">
        <x:v>Structural analysis required</x:v>
      </x:c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55" customHeight="1">
      <x:c r="A19" s="7" t="str">
        <x:v>Harness / cable guides</x:v>
      </x:c>
      <x:c r="B19" s="8" t="n">
        <x:v>1</x:v>
      </x:c>
      <x:c r="C19" s="7" t="str">
        <x:v>Assembly</x:v>
      </x:c>
      <x:c r="D19" s="7" t="str">
        <x:v>Service loops, strain relief and protected routes</x:v>
      </x:c>
      <x:c r="E19" s="7" t="str">
        <x:v>Bend radius; clearance through full motion; grounding</x:v>
      </x:c>
      <x:c r="F19" s="2" t="str">
        <x:v>Harness drawing required</x:v>
      </x:c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55" customHeight="1">
      <x:c r="A20" s="7" t="str">
        <x:v>ROBOTIS XH540-W270</x:v>
      </x:c>
      <x:c r="B20" s="8" t="n">
        <x:v>0</x:v>
      </x:c>
      <x:c r="C20" s="7" t="str">
        <x:v>Comparison only</x:v>
      </x:c>
      <x:c r="D20" s="7" t="str">
        <x:v>Published 12 V stall point: 9.9 N m / 4.9 A</x:v>
      </x:c>
      <x:c r="E20" s="7" t="str">
        <x:v>Stall is not continuous torque; not selected for this arm</x:v>
      </x:c>
      <x:c r="F20" s="2" t="str">
        <x:v>https://emanual.robotis.com/docs/en/dxl/x/xh540-w270/</x:v>
      </x:c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6" hidden="0" customWidth="1"/>
    <x:col min="2" max="2" width="21" hidden="0" customWidth="1"/>
    <x:col min="3" max="3" width="21" hidden="0" customWidth="1"/>
    <x:col min="4" max="4" width="2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Preliminary actuator sizing worksheet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 t="str">
        <x:v>Amber cells are required inputs. Outputs are preliminary; continuous torque, speed and thermal duty must be checked separately.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 t="str">
        <x:v>Gravity (m/s²)</x:v>
      </x:c>
      <x:c r="B4" s="2" t="n">
        <x:v>9.80665</x:v>
      </x:c>
      <x:c r="C4" s="2"/>
      <x:c r="D4" s="2" t="str">
        <x:v>Joint torque = (payload gravity + link gravity + inertia + friction) x service factor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4" customHeight="1">
      <x:c r="A6" s="6" t="str">
        <x:v>Virtual axis reference</x:v>
      </x:c>
      <x:c r="B6" s="6" t="str">
        <x:v>Joint demand N m</x:v>
      </x:c>
      <x:c r="C6" s="6" t="str">
        <x:v>Motor demand N m</x:v>
      </x:c>
      <x:c r="D6" s="6" t="str">
        <x:v>Calculation status</x:v>
      </x:c>
      <x:c r="E6" s="6" t="str">
        <x:v>Payload kg</x:v>
      </x:c>
      <x:c r="F6" s="6" t="str">
        <x:v>Payload lever m</x:v>
      </x:c>
      <x:c r="G6" s="6" t="str">
        <x:v>Link gravity N m</x:v>
      </x:c>
      <x:c r="H6" s="6" t="str">
        <x:v>Inertial torque N m</x:v>
      </x:c>
      <x:c r="I6" s="6" t="str">
        <x:v>Friction / external N m</x:v>
      </x:c>
      <x:c r="J6" s="6" t="str">
        <x:v>Service factor</x:v>
      </x:c>
      <x:c r="K6" s="6" t="str">
        <x:v>Gear ratio</x:v>
      </x:c>
      <x:c r="L6" s="6" t="str">
        <x:v>Efficiency</x:v>
      </x:c>
      <x:c r="M6" s="2"/>
      <x:c r="N6" s="2"/>
      <x:c r="O6" s="2"/>
    </x:row>
    <x:row r="7" ht="27" customHeight="1">
      <x:c r="A7" s="2" t="str">
        <x:v>Shoulder abduction</x:v>
      </x:c>
      <x:c r="B7" s="10" t="str">
        <x:f>IF(D7="CALCULATED ONLY",(E7*$B$4*F7+G7+H7+I7)*J7,"")</x:f>
      </x:c>
      <x:c r="C7" s="10" t="str">
        <x:f>IF(D7="CALCULATED ONLY",B7/(K7*L7),"")</x:f>
      </x:c>
      <x:c r="D7" s="2" t="str">
        <x:f>IF(COUNT(E7:L7)&lt;8,"INPUTS NEEDED",IF(OR(MIN(E7:I7)&lt;0,J7&lt;1,K7&lt;=0,L7&lt;=0,L7&gt;1),"CHECK INPUTS","CALCULATED ONLY"))</x:f>
        <x:v>INPUTS NEEDED</x:v>
      </x:c>
      <x:c r="E7" s="11"/>
      <x:c r="F7" s="11"/>
      <x:c r="G7" s="11"/>
      <x:c r="H7" s="11"/>
      <x:c r="I7" s="11"/>
      <x:c r="J7" s="11"/>
      <x:c r="K7" s="11"/>
      <x:c r="L7" s="11"/>
      <x:c r="M7" s="2"/>
      <x:c r="N7" s="2"/>
      <x:c r="O7" s="2"/>
    </x:row>
    <x:row r="8" ht="27" customHeight="1">
      <x:c r="A8" s="2" t="str">
        <x:v>Shoulder flexion</x:v>
      </x:c>
      <x:c r="B8" s="10" t="str">
        <x:f>IF(D8="CALCULATED ONLY",(E8*$B$4*F8+G8+H8+I8)*J8,"")</x:f>
      </x:c>
      <x:c r="C8" s="10" t="str">
        <x:f>IF(D8="CALCULATED ONLY",B8/(K8*L8),"")</x:f>
      </x:c>
      <x:c r="D8" s="2" t="str">
        <x:f>IF(COUNT(E8:L8)&lt;8,"INPUTS NEEDED",IF(OR(MIN(E8:I8)&lt;0,J8&lt;1,K8&lt;=0,L8&lt;=0,L8&gt;1),"CHECK INPUTS","CALCULATED ONLY"))</x:f>
        <x:v>INPUTS NEEDED</x:v>
      </x:c>
      <x:c r="E8" s="11"/>
      <x:c r="F8" s="11"/>
      <x:c r="G8" s="11"/>
      <x:c r="H8" s="11"/>
      <x:c r="I8" s="11"/>
      <x:c r="J8" s="11"/>
      <x:c r="K8" s="11"/>
      <x:c r="L8" s="11"/>
      <x:c r="M8" s="2"/>
      <x:c r="N8" s="2"/>
      <x:c r="O8" s="2"/>
    </x:row>
    <x:row r="9" ht="27" customHeight="1">
      <x:c r="A9" s="2" t="str">
        <x:v>Shoulder axial rotation</x:v>
      </x:c>
      <x:c r="B9" s="10" t="str">
        <x:f>IF(D9="CALCULATED ONLY",(E9*$B$4*F9+G9+H9+I9)*J9,"")</x:f>
      </x:c>
      <x:c r="C9" s="10" t="str">
        <x:f>IF(D9="CALCULATED ONLY",B9/(K9*L9),"")</x:f>
      </x:c>
      <x:c r="D9" s="2" t="str">
        <x:f>IF(COUNT(E9:L9)&lt;8,"INPUTS NEEDED",IF(OR(MIN(E9:I9)&lt;0,J9&lt;1,K9&lt;=0,L9&lt;=0,L9&gt;1),"CHECK INPUTS","CALCULATED ONLY"))</x:f>
        <x:v>INPUTS NEEDED</x:v>
      </x:c>
      <x:c r="E9" s="11"/>
      <x:c r="F9" s="11"/>
      <x:c r="G9" s="11"/>
      <x:c r="H9" s="11"/>
      <x:c r="I9" s="11"/>
      <x:c r="J9" s="11"/>
      <x:c r="K9" s="11"/>
      <x:c r="L9" s="11"/>
      <x:c r="M9" s="2"/>
      <x:c r="N9" s="2"/>
      <x:c r="O9" s="2"/>
    </x:row>
    <x:row r="10" ht="27" customHeight="1">
      <x:c r="A10" s="2" t="str">
        <x:v>Elbow flexion</x:v>
      </x:c>
      <x:c r="B10" s="10" t="str">
        <x:f>IF(D10="CALCULATED ONLY",(E10*$B$4*F10+G10+H10+I10)*J10,"")</x:f>
      </x:c>
      <x:c r="C10" s="10" t="str">
        <x:f>IF(D10="CALCULATED ONLY",B10/(K10*L10),"")</x:f>
      </x:c>
      <x:c r="D10" s="2" t="str">
        <x:f>IF(COUNT(E10:L10)&lt;8,"INPUTS NEEDED",IF(OR(MIN(E10:I10)&lt;0,J10&lt;1,K10&lt;=0,L10&lt;=0,L10&gt;1),"CHECK INPUTS","CALCULATED ONLY"))</x:f>
        <x:v>INPUTS NEEDED</x:v>
      </x:c>
      <x:c r="E10" s="11"/>
      <x:c r="F10" s="11"/>
      <x:c r="G10" s="11"/>
      <x:c r="H10" s="11"/>
      <x:c r="I10" s="11"/>
      <x:c r="J10" s="11"/>
      <x:c r="K10" s="11"/>
      <x:c r="L10" s="11"/>
      <x:c r="M10" s="2"/>
      <x:c r="N10" s="2"/>
      <x:c r="O10" s="2"/>
    </x:row>
    <x:row r="11" ht="27" customHeight="1">
      <x:c r="A11" s="2" t="str">
        <x:v>Forearm pronation</x:v>
      </x:c>
      <x:c r="B11" s="10" t="str">
        <x:f>IF(D11="CALCULATED ONLY",(E11*$B$4*F11+G11+H11+I11)*J11,"")</x:f>
      </x:c>
      <x:c r="C11" s="10" t="str">
        <x:f>IF(D11="CALCULATED ONLY",B11/(K11*L11),"")</x:f>
      </x:c>
      <x:c r="D11" s="2" t="str">
        <x:f>IF(COUNT(E11:L11)&lt;8,"INPUTS NEEDED",IF(OR(MIN(E11:I11)&lt;0,J11&lt;1,K11&lt;=0,L11&lt;=0,L11&gt;1),"CHECK INPUTS","CALCULATED ONLY"))</x:f>
        <x:v>INPUTS NEEDED</x:v>
      </x:c>
      <x:c r="E11" s="11"/>
      <x:c r="F11" s="11"/>
      <x:c r="G11" s="11"/>
      <x:c r="H11" s="11"/>
      <x:c r="I11" s="11"/>
      <x:c r="J11" s="11"/>
      <x:c r="K11" s="11"/>
      <x:c r="L11" s="11"/>
      <x:c r="M11" s="2"/>
      <x:c r="N11" s="2"/>
      <x:c r="O11" s="2"/>
    </x:row>
    <x:row r="12" ht="27" customHeight="1">
      <x:c r="A12" s="2" t="str">
        <x:v>Wrist flexion</x:v>
      </x:c>
      <x:c r="B12" s="10" t="str">
        <x:f>IF(D12="CALCULATED ONLY",(E12*$B$4*F12+G12+H12+I12)*J12,"")</x:f>
      </x:c>
      <x:c r="C12" s="10" t="str">
        <x:f>IF(D12="CALCULATED ONLY",B12/(K12*L12),"")</x:f>
      </x:c>
      <x:c r="D12" s="2" t="str">
        <x:f>IF(COUNT(E12:L12)&lt;8,"INPUTS NEEDED",IF(OR(MIN(E12:I12)&lt;0,J12&lt;1,K12&lt;=0,L12&lt;=0,L12&gt;1),"CHECK INPUTS","CALCULATED ONLY"))</x:f>
        <x:v>INPUTS NEEDED</x:v>
      </x:c>
      <x:c r="E12" s="11"/>
      <x:c r="F12" s="11"/>
      <x:c r="G12" s="11"/>
      <x:c r="H12" s="11"/>
      <x:c r="I12" s="11"/>
      <x:c r="J12" s="11"/>
      <x:c r="K12" s="11"/>
      <x:c r="L12" s="11"/>
      <x:c r="M12" s="2"/>
      <x:c r="N12" s="2"/>
      <x:c r="O12" s="2"/>
    </x:row>
    <x:row r="13" ht="27" customHeight="1">
      <x:c r="A13" s="2" t="str">
        <x:v>Wrist deviation</x:v>
      </x:c>
      <x:c r="B13" s="10" t="str">
        <x:f>IF(D13="CALCULATED ONLY",(E13*$B$4*F13+G13+H13+I13)*J13,"")</x:f>
      </x:c>
      <x:c r="C13" s="10" t="str">
        <x:f>IF(D13="CALCULATED ONLY",B13/(K13*L13),"")</x:f>
      </x:c>
      <x:c r="D13" s="2" t="str">
        <x:f>IF(COUNT(E13:L13)&lt;8,"INPUTS NEEDED",IF(OR(MIN(E13:I13)&lt;0,J13&lt;1,K13&lt;=0,L13&lt;=0,L13&gt;1),"CHECK INPUTS","CALCULATED ONLY"))</x:f>
        <x:v>INPUTS NEEDED</x:v>
      </x:c>
      <x:c r="E13" s="11"/>
      <x:c r="F13" s="11"/>
      <x:c r="G13" s="11"/>
      <x:c r="H13" s="11"/>
      <x:c r="I13" s="11"/>
      <x:c r="J13" s="11"/>
      <x:c r="K13" s="11"/>
      <x:c r="L13" s="11"/>
      <x:c r="M13" s="2"/>
      <x:c r="N13" s="2"/>
      <x:c r="O13" s="2"/>
    </x:row>
    <x:row r="14" ht="27" customHeight="1">
      <x:c r="A14" s="2" t="str">
        <x:v>Index spread</x:v>
      </x:c>
      <x:c r="B14" s="10" t="str">
        <x:f>IF(D14="CALCULATED ONLY",(E14*$B$4*F14+G14+H14+I14)*J14,"")</x:f>
      </x:c>
      <x:c r="C14" s="10" t="str">
        <x:f>IF(D14="CALCULATED ONLY",B14/(K14*L14),"")</x:f>
      </x:c>
      <x:c r="D14" s="2" t="str">
        <x:f>IF(COUNT(E14:L14)&lt;8,"INPUTS NEEDED",IF(OR(MIN(E14:I14)&lt;0,J14&lt;1,K14&lt;=0,L14&lt;=0,L14&gt;1),"CHECK INPUTS","CALCULATED ONLY"))</x:f>
        <x:v>INPUTS NEEDED</x:v>
      </x:c>
      <x:c r="E14" s="11"/>
      <x:c r="F14" s="11"/>
      <x:c r="G14" s="11"/>
      <x:c r="H14" s="11"/>
      <x:c r="I14" s="11"/>
      <x:c r="J14" s="11"/>
      <x:c r="K14" s="11"/>
      <x:c r="L14" s="11"/>
      <x:c r="M14" s="2"/>
      <x:c r="N14" s="2"/>
      <x:c r="O14" s="2"/>
    </x:row>
    <x:row r="15" ht="27" customHeight="1">
      <x:c r="A15" s="2" t="str">
        <x:v>Index MCP curl</x:v>
      </x:c>
      <x:c r="B15" s="10" t="str">
        <x:f>IF(D15="CALCULATED ONLY",(E15*$B$4*F15+G15+H15+I15)*J15,"")</x:f>
      </x:c>
      <x:c r="C15" s="10" t="str">
        <x:f>IF(D15="CALCULATED ONLY",B15/(K15*L15),"")</x:f>
      </x:c>
      <x:c r="D15" s="2" t="str">
        <x:f>IF(COUNT(E15:L15)&lt;8,"INPUTS NEEDED",IF(OR(MIN(E15:I15)&lt;0,J15&lt;1,K15&lt;=0,L15&lt;=0,L15&gt;1),"CHECK INPUTS","CALCULATED ONLY"))</x:f>
        <x:v>INPUTS NEEDED</x:v>
      </x:c>
      <x:c r="E15" s="11"/>
      <x:c r="F15" s="11"/>
      <x:c r="G15" s="11"/>
      <x:c r="H15" s="11"/>
      <x:c r="I15" s="11"/>
      <x:c r="J15" s="11"/>
      <x:c r="K15" s="11"/>
      <x:c r="L15" s="11"/>
      <x:c r="M15" s="2"/>
      <x:c r="N15" s="2"/>
      <x:c r="O15" s="2"/>
    </x:row>
    <x:row r="16" ht="27" customHeight="1">
      <x:c r="A16" s="2" t="str">
        <x:v>Index PIP curl</x:v>
      </x:c>
      <x:c r="B16" s="10" t="str">
        <x:f>IF(D16="CALCULATED ONLY",(E16*$B$4*F16+G16+H16+I16)*J16,"")</x:f>
      </x:c>
      <x:c r="C16" s="10" t="str">
        <x:f>IF(D16="CALCULATED ONLY",B16/(K16*L16),"")</x:f>
      </x:c>
      <x:c r="D16" s="2" t="str">
        <x:f>IF(COUNT(E16:L16)&lt;8,"INPUTS NEEDED",IF(OR(MIN(E16:I16)&lt;0,J16&lt;1,K16&lt;=0,L16&lt;=0,L16&gt;1),"CHECK INPUTS","CALCULATED ONLY"))</x:f>
        <x:v>INPUTS NEEDED</x:v>
      </x:c>
      <x:c r="E16" s="11"/>
      <x:c r="F16" s="11"/>
      <x:c r="G16" s="11"/>
      <x:c r="H16" s="11"/>
      <x:c r="I16" s="11"/>
      <x:c r="J16" s="11"/>
      <x:c r="K16" s="11"/>
      <x:c r="L16" s="11"/>
      <x:c r="M16" s="2"/>
      <x:c r="N16" s="2"/>
      <x:c r="O16" s="2"/>
    </x:row>
    <x:row r="17" ht="27" customHeight="1">
      <x:c r="A17" s="2" t="str">
        <x:v>Index DIP curl</x:v>
      </x:c>
      <x:c r="B17" s="10" t="str">
        <x:f>IF(D17="CALCULATED ONLY",(E17*$B$4*F17+G17+H17+I17)*J17,"")</x:f>
      </x:c>
      <x:c r="C17" s="10" t="str">
        <x:f>IF(D17="CALCULATED ONLY",B17/(K17*L17),"")</x:f>
      </x:c>
      <x:c r="D17" s="2" t="str">
        <x:f>IF(COUNT(E17:L17)&lt;8,"INPUTS NEEDED",IF(OR(MIN(E17:I17)&lt;0,J17&lt;1,K17&lt;=0,L17&lt;=0,L17&gt;1),"CHECK INPUTS","CALCULATED ONLY"))</x:f>
        <x:v>INPUTS NEEDED</x:v>
      </x:c>
      <x:c r="E17" s="11"/>
      <x:c r="F17" s="11"/>
      <x:c r="G17" s="11"/>
      <x:c r="H17" s="11"/>
      <x:c r="I17" s="11"/>
      <x:c r="J17" s="11"/>
      <x:c r="K17" s="11"/>
      <x:c r="L17" s="11"/>
      <x:c r="M17" s="2"/>
      <x:c r="N17" s="2"/>
      <x:c r="O17" s="2"/>
    </x:row>
    <x:row r="18" ht="27" customHeight="1">
      <x:c r="A18" s="2" t="str">
        <x:v>Middle spread</x:v>
      </x:c>
      <x:c r="B18" s="10" t="str">
        <x:f>IF(D18="CALCULATED ONLY",(E18*$B$4*F18+G18+H18+I18)*J18,"")</x:f>
      </x:c>
      <x:c r="C18" s="10" t="str">
        <x:f>IF(D18="CALCULATED ONLY",B18/(K18*L18),"")</x:f>
      </x:c>
      <x:c r="D18" s="2" t="str">
        <x:f>IF(COUNT(E18:L18)&lt;8,"INPUTS NEEDED",IF(OR(MIN(E18:I18)&lt;0,J18&lt;1,K18&lt;=0,L18&lt;=0,L18&gt;1),"CHECK INPUTS","CALCULATED ONLY"))</x:f>
        <x:v>INPUTS NEEDED</x:v>
      </x:c>
      <x:c r="E18" s="11"/>
      <x:c r="F18" s="11"/>
      <x:c r="G18" s="11"/>
      <x:c r="H18" s="11"/>
      <x:c r="I18" s="11"/>
      <x:c r="J18" s="11"/>
      <x:c r="K18" s="11"/>
      <x:c r="L18" s="11"/>
      <x:c r="M18" s="2"/>
      <x:c r="N18" s="2"/>
      <x:c r="O18" s="2"/>
    </x:row>
    <x:row r="19" ht="27" customHeight="1">
      <x:c r="A19" s="2" t="str">
        <x:v>Middle MCP curl</x:v>
      </x:c>
      <x:c r="B19" s="10" t="str">
        <x:f>IF(D19="CALCULATED ONLY",(E19*$B$4*F19+G19+H19+I19)*J19,"")</x:f>
      </x:c>
      <x:c r="C19" s="10" t="str">
        <x:f>IF(D19="CALCULATED ONLY",B19/(K19*L19),"")</x:f>
      </x:c>
      <x:c r="D19" s="2" t="str">
        <x:f>IF(COUNT(E19:L19)&lt;8,"INPUTS NEEDED",IF(OR(MIN(E19:I19)&lt;0,J19&lt;1,K19&lt;=0,L19&lt;=0,L19&gt;1),"CHECK INPUTS","CALCULATED ONLY"))</x:f>
        <x:v>INPUTS NEEDED</x:v>
      </x:c>
      <x:c r="E19" s="11"/>
      <x:c r="F19" s="11"/>
      <x:c r="G19" s="11"/>
      <x:c r="H19" s="11"/>
      <x:c r="I19" s="11"/>
      <x:c r="J19" s="11"/>
      <x:c r="K19" s="11"/>
      <x:c r="L19" s="11"/>
      <x:c r="M19" s="2"/>
      <x:c r="N19" s="2"/>
      <x:c r="O19" s="2"/>
    </x:row>
    <x:row r="20" ht="27" customHeight="1">
      <x:c r="A20" s="2" t="str">
        <x:v>Middle PIP curl</x:v>
      </x:c>
      <x:c r="B20" s="10" t="str">
        <x:f>IF(D20="CALCULATED ONLY",(E20*$B$4*F20+G20+H20+I20)*J20,"")</x:f>
      </x:c>
      <x:c r="C20" s="10" t="str">
        <x:f>IF(D20="CALCULATED ONLY",B20/(K20*L20),"")</x:f>
      </x:c>
      <x:c r="D20" s="2" t="str">
        <x:f>IF(COUNT(E20:L20)&lt;8,"INPUTS NEEDED",IF(OR(MIN(E20:I20)&lt;0,J20&lt;1,K20&lt;=0,L20&lt;=0,L20&gt;1),"CHECK INPUTS","CALCULATED ONLY"))</x:f>
        <x:v>INPUTS NEEDED</x:v>
      </x:c>
      <x:c r="E20" s="11"/>
      <x:c r="F20" s="11"/>
      <x:c r="G20" s="11"/>
      <x:c r="H20" s="11"/>
      <x:c r="I20" s="11"/>
      <x:c r="J20" s="11"/>
      <x:c r="K20" s="11"/>
      <x:c r="L20" s="11"/>
      <x:c r="M20" s="2"/>
      <x:c r="N20" s="2"/>
      <x:c r="O20" s="2"/>
    </x:row>
    <x:row r="21" ht="27" customHeight="1">
      <x:c r="A21" s="2" t="str">
        <x:v>Middle DIP curl</x:v>
      </x:c>
      <x:c r="B21" s="10" t="str">
        <x:f>IF(D21="CALCULATED ONLY",(E21*$B$4*F21+G21+H21+I21)*J21,"")</x:f>
      </x:c>
      <x:c r="C21" s="10" t="str">
        <x:f>IF(D21="CALCULATED ONLY",B21/(K21*L21),"")</x:f>
      </x:c>
      <x:c r="D21" s="2" t="str">
        <x:f>IF(COUNT(E21:L21)&lt;8,"INPUTS NEEDED",IF(OR(MIN(E21:I21)&lt;0,J21&lt;1,K21&lt;=0,L21&lt;=0,L21&gt;1),"CHECK INPUTS","CALCULATED ONLY"))</x:f>
        <x:v>INPUTS NEEDED</x:v>
      </x:c>
      <x:c r="E21" s="11"/>
      <x:c r="F21" s="11"/>
      <x:c r="G21" s="11"/>
      <x:c r="H21" s="11"/>
      <x:c r="I21" s="11"/>
      <x:c r="J21" s="11"/>
      <x:c r="K21" s="11"/>
      <x:c r="L21" s="11"/>
      <x:c r="M21" s="2"/>
      <x:c r="N21" s="2"/>
      <x:c r="O21" s="2"/>
    </x:row>
    <x:row r="22" ht="27" customHeight="1">
      <x:c r="A22" s="2" t="str">
        <x:v>Ring spread</x:v>
      </x:c>
      <x:c r="B22" s="10" t="str">
        <x:f>IF(D22="CALCULATED ONLY",(E22*$B$4*F22+G22+H22+I22)*J22,"")</x:f>
      </x:c>
      <x:c r="C22" s="10" t="str">
        <x:f>IF(D22="CALCULATED ONLY",B22/(K22*L22),"")</x:f>
      </x:c>
      <x:c r="D22" s="2" t="str">
        <x:f>IF(COUNT(E22:L22)&lt;8,"INPUTS NEEDED",IF(OR(MIN(E22:I22)&lt;0,J22&lt;1,K22&lt;=0,L22&lt;=0,L22&gt;1),"CHECK INPUTS","CALCULATED ONLY"))</x:f>
        <x:v>INPUTS NEEDED</x:v>
      </x:c>
      <x:c r="E22" s="11"/>
      <x:c r="F22" s="11"/>
      <x:c r="G22" s="11"/>
      <x:c r="H22" s="11"/>
      <x:c r="I22" s="11"/>
      <x:c r="J22" s="11"/>
      <x:c r="K22" s="11"/>
      <x:c r="L22" s="11"/>
      <x:c r="M22" s="2"/>
      <x:c r="N22" s="2"/>
      <x:c r="O22" s="2"/>
    </x:row>
    <x:row r="23" ht="27" customHeight="1">
      <x:c r="A23" s="2" t="str">
        <x:v>Ring MCP curl</x:v>
      </x:c>
      <x:c r="B23" s="10" t="str">
        <x:f>IF(D23="CALCULATED ONLY",(E23*$B$4*F23+G23+H23+I23)*J23,"")</x:f>
      </x:c>
      <x:c r="C23" s="10" t="str">
        <x:f>IF(D23="CALCULATED ONLY",B23/(K23*L23),"")</x:f>
      </x:c>
      <x:c r="D23" s="2" t="str">
        <x:f>IF(COUNT(E23:L23)&lt;8,"INPUTS NEEDED",IF(OR(MIN(E23:I23)&lt;0,J23&lt;1,K23&lt;=0,L23&lt;=0,L23&gt;1),"CHECK INPUTS","CALCULATED ONLY"))</x:f>
        <x:v>INPUTS NEEDED</x:v>
      </x:c>
      <x:c r="E23" s="11"/>
      <x:c r="F23" s="11"/>
      <x:c r="G23" s="11"/>
      <x:c r="H23" s="11"/>
      <x:c r="I23" s="11"/>
      <x:c r="J23" s="11"/>
      <x:c r="K23" s="11"/>
      <x:c r="L23" s="11"/>
      <x:c r="M23" s="2"/>
      <x:c r="N23" s="2"/>
      <x:c r="O23" s="2"/>
    </x:row>
    <x:row r="24" ht="27" customHeight="1">
      <x:c r="A24" s="2" t="str">
        <x:v>Ring PIP curl</x:v>
      </x:c>
      <x:c r="B24" s="10" t="str">
        <x:f>IF(D24="CALCULATED ONLY",(E24*$B$4*F24+G24+H24+I24)*J24,"")</x:f>
      </x:c>
      <x:c r="C24" s="10" t="str">
        <x:f>IF(D24="CALCULATED ONLY",B24/(K24*L24),"")</x:f>
      </x:c>
      <x:c r="D24" s="2" t="str">
        <x:f>IF(COUNT(E24:L24)&lt;8,"INPUTS NEEDED",IF(OR(MIN(E24:I24)&lt;0,J24&lt;1,K24&lt;=0,L24&lt;=0,L24&gt;1),"CHECK INPUTS","CALCULATED ONLY"))</x:f>
        <x:v>INPUTS NEEDED</x:v>
      </x:c>
      <x:c r="E24" s="11"/>
      <x:c r="F24" s="11"/>
      <x:c r="G24" s="11"/>
      <x:c r="H24" s="11"/>
      <x:c r="I24" s="11"/>
      <x:c r="J24" s="11"/>
      <x:c r="K24" s="11"/>
      <x:c r="L24" s="11"/>
      <x:c r="M24" s="2"/>
      <x:c r="N24" s="2"/>
      <x:c r="O24" s="2"/>
    </x:row>
    <x:row r="25" ht="27" customHeight="1">
      <x:c r="A25" s="2" t="str">
        <x:v>Ring DIP curl</x:v>
      </x:c>
      <x:c r="B25" s="10" t="str">
        <x:f>IF(D25="CALCULATED ONLY",(E25*$B$4*F25+G25+H25+I25)*J25,"")</x:f>
      </x:c>
      <x:c r="C25" s="10" t="str">
        <x:f>IF(D25="CALCULATED ONLY",B25/(K25*L25),"")</x:f>
      </x:c>
      <x:c r="D25" s="2" t="str">
        <x:f>IF(COUNT(E25:L25)&lt;8,"INPUTS NEEDED",IF(OR(MIN(E25:I25)&lt;0,J25&lt;1,K25&lt;=0,L25&lt;=0,L25&gt;1),"CHECK INPUTS","CALCULATED ONLY"))</x:f>
        <x:v>INPUTS NEEDED</x:v>
      </x:c>
      <x:c r="E25" s="11"/>
      <x:c r="F25" s="11"/>
      <x:c r="G25" s="11"/>
      <x:c r="H25" s="11"/>
      <x:c r="I25" s="11"/>
      <x:c r="J25" s="11"/>
      <x:c r="K25" s="11"/>
      <x:c r="L25" s="11"/>
      <x:c r="M25" s="2"/>
      <x:c r="N25" s="2"/>
      <x:c r="O25" s="2"/>
    </x:row>
    <x:row r="26" ht="27" customHeight="1">
      <x:c r="A26" s="2" t="str">
        <x:v>Little spread</x:v>
      </x:c>
      <x:c r="B26" s="10" t="str">
        <x:f>IF(D26="CALCULATED ONLY",(E26*$B$4*F26+G26+H26+I26)*J26,"")</x:f>
      </x:c>
      <x:c r="C26" s="10" t="str">
        <x:f>IF(D26="CALCULATED ONLY",B26/(K26*L26),"")</x:f>
      </x:c>
      <x:c r="D26" s="2" t="str">
        <x:f>IF(COUNT(E26:L26)&lt;8,"INPUTS NEEDED",IF(OR(MIN(E26:I26)&lt;0,J26&lt;1,K26&lt;=0,L26&lt;=0,L26&gt;1),"CHECK INPUTS","CALCULATED ONLY"))</x:f>
        <x:v>INPUTS NEEDED</x:v>
      </x:c>
      <x:c r="E26" s="11"/>
      <x:c r="F26" s="11"/>
      <x:c r="G26" s="11"/>
      <x:c r="H26" s="11"/>
      <x:c r="I26" s="11"/>
      <x:c r="J26" s="11"/>
      <x:c r="K26" s="11"/>
      <x:c r="L26" s="11"/>
      <x:c r="M26" s="2"/>
      <x:c r="N26" s="2"/>
      <x:c r="O26" s="2"/>
    </x:row>
    <x:row r="27" ht="27" customHeight="1">
      <x:c r="A27" s="2" t="str">
        <x:v>Little MCP curl</x:v>
      </x:c>
      <x:c r="B27" s="10" t="str">
        <x:f>IF(D27="CALCULATED ONLY",(E27*$B$4*F27+G27+H27+I27)*J27,"")</x:f>
      </x:c>
      <x:c r="C27" s="10" t="str">
        <x:f>IF(D27="CALCULATED ONLY",B27/(K27*L27),"")</x:f>
      </x:c>
      <x:c r="D27" s="2" t="str">
        <x:f>IF(COUNT(E27:L27)&lt;8,"INPUTS NEEDED",IF(OR(MIN(E27:I27)&lt;0,J27&lt;1,K27&lt;=0,L27&lt;=0,L27&gt;1),"CHECK INPUTS","CALCULATED ONLY"))</x:f>
        <x:v>INPUTS NEEDED</x:v>
      </x:c>
      <x:c r="E27" s="11"/>
      <x:c r="F27" s="11"/>
      <x:c r="G27" s="11"/>
      <x:c r="H27" s="11"/>
      <x:c r="I27" s="11"/>
      <x:c r="J27" s="11"/>
      <x:c r="K27" s="11"/>
      <x:c r="L27" s="11"/>
      <x:c r="M27" s="2"/>
      <x:c r="N27" s="2"/>
      <x:c r="O27" s="2"/>
    </x:row>
    <x:row r="28" ht="27" customHeight="1">
      <x:c r="A28" s="2" t="str">
        <x:v>Little PIP curl</x:v>
      </x:c>
      <x:c r="B28" s="10" t="str">
        <x:f>IF(D28="CALCULATED ONLY",(E28*$B$4*F28+G28+H28+I28)*J28,"")</x:f>
      </x:c>
      <x:c r="C28" s="10" t="str">
        <x:f>IF(D28="CALCULATED ONLY",B28/(K28*L28),"")</x:f>
      </x:c>
      <x:c r="D28" s="2" t="str">
        <x:f>IF(COUNT(E28:L28)&lt;8,"INPUTS NEEDED",IF(OR(MIN(E28:I28)&lt;0,J28&lt;1,K28&lt;=0,L28&lt;=0,L28&gt;1),"CHECK INPUTS","CALCULATED ONLY"))</x:f>
        <x:v>INPUTS NEEDED</x:v>
      </x:c>
      <x:c r="E28" s="11"/>
      <x:c r="F28" s="11"/>
      <x:c r="G28" s="11"/>
      <x:c r="H28" s="11"/>
      <x:c r="I28" s="11"/>
      <x:c r="J28" s="11"/>
      <x:c r="K28" s="11"/>
      <x:c r="L28" s="11"/>
      <x:c r="M28" s="2"/>
      <x:c r="N28" s="2"/>
      <x:c r="O28" s="2"/>
    </x:row>
    <x:row r="29" ht="27" customHeight="1">
      <x:c r="A29" s="2" t="str">
        <x:v>Little DIP curl</x:v>
      </x:c>
      <x:c r="B29" s="10" t="str">
        <x:f>IF(D29="CALCULATED ONLY",(E29*$B$4*F29+G29+H29+I29)*J29,"")</x:f>
      </x:c>
      <x:c r="C29" s="10" t="str">
        <x:f>IF(D29="CALCULATED ONLY",B29/(K29*L29),"")</x:f>
      </x:c>
      <x:c r="D29" s="2" t="str">
        <x:f>IF(COUNT(E29:L29)&lt;8,"INPUTS NEEDED",IF(OR(MIN(E29:I29)&lt;0,J29&lt;1,K29&lt;=0,L29&lt;=0,L29&gt;1),"CHECK INPUTS","CALCULATED ONLY"))</x:f>
        <x:v>INPUTS NEEDED</x:v>
      </x:c>
      <x:c r="E29" s="11"/>
      <x:c r="F29" s="11"/>
      <x:c r="G29" s="11"/>
      <x:c r="H29" s="11"/>
      <x:c r="I29" s="11"/>
      <x:c r="J29" s="11"/>
      <x:c r="K29" s="11"/>
      <x:c r="L29" s="11"/>
      <x:c r="M29" s="2"/>
      <x:c r="N29" s="2"/>
      <x:c r="O29" s="2"/>
    </x:row>
    <x:row r="30" ht="27" customHeight="1">
      <x:c r="A30" s="2" t="str">
        <x:v>Thumb opposition</x:v>
      </x:c>
      <x:c r="B30" s="10" t="str">
        <x:f>IF(D30="CALCULATED ONLY",(E30*$B$4*F30+G30+H30+I30)*J30,"")</x:f>
      </x:c>
      <x:c r="C30" s="10" t="str">
        <x:f>IF(D30="CALCULATED ONLY",B30/(K30*L30),"")</x:f>
      </x:c>
      <x:c r="D30" s="2" t="str">
        <x:f>IF(COUNT(E30:L30)&lt;8,"INPUTS NEEDED",IF(OR(MIN(E30:I30)&lt;0,J30&lt;1,K30&lt;=0,L30&lt;=0,L30&gt;1),"CHECK INPUTS","CALCULATED ONLY"))</x:f>
        <x:v>INPUTS NEEDED</x:v>
      </x:c>
      <x:c r="E30" s="11"/>
      <x:c r="F30" s="11"/>
      <x:c r="G30" s="11"/>
      <x:c r="H30" s="11"/>
      <x:c r="I30" s="11"/>
      <x:c r="J30" s="11"/>
      <x:c r="K30" s="11"/>
      <x:c r="L30" s="11"/>
      <x:c r="M30" s="2"/>
      <x:c r="N30" s="2"/>
      <x:c r="O30" s="2"/>
    </x:row>
    <x:row r="31" ht="27" customHeight="1">
      <x:c r="A31" s="2" t="str">
        <x:v>Thumb CMC flexion</x:v>
      </x:c>
      <x:c r="B31" s="10" t="str">
        <x:f>IF(D31="CALCULATED ONLY",(E31*$B$4*F31+G31+H31+I31)*J31,"")</x:f>
      </x:c>
      <x:c r="C31" s="10" t="str">
        <x:f>IF(D31="CALCULATED ONLY",B31/(K31*L31),"")</x:f>
      </x:c>
      <x:c r="D31" s="2" t="str">
        <x:f>IF(COUNT(E31:L31)&lt;8,"INPUTS NEEDED",IF(OR(MIN(E31:I31)&lt;0,J31&lt;1,K31&lt;=0,L31&lt;=0,L31&gt;1),"CHECK INPUTS","CALCULATED ONLY"))</x:f>
        <x:v>INPUTS NEEDED</x:v>
      </x:c>
      <x:c r="E31" s="11"/>
      <x:c r="F31" s="11"/>
      <x:c r="G31" s="11"/>
      <x:c r="H31" s="11"/>
      <x:c r="I31" s="11"/>
      <x:c r="J31" s="11"/>
      <x:c r="K31" s="11"/>
      <x:c r="L31" s="11"/>
      <x:c r="M31" s="2"/>
      <x:c r="N31" s="2"/>
      <x:c r="O31" s="2"/>
    </x:row>
    <x:row r="32" ht="27" customHeight="1">
      <x:c r="A32" s="2" t="str">
        <x:v>Thumb MCP flexion</x:v>
      </x:c>
      <x:c r="B32" s="10" t="str">
        <x:f>IF(D32="CALCULATED ONLY",(E32*$B$4*F32+G32+H32+I32)*J32,"")</x:f>
      </x:c>
      <x:c r="C32" s="10" t="str">
        <x:f>IF(D32="CALCULATED ONLY",B32/(K32*L32),"")</x:f>
      </x:c>
      <x:c r="D32" s="2" t="str">
        <x:f>IF(COUNT(E32:L32)&lt;8,"INPUTS NEEDED",IF(OR(MIN(E32:I32)&lt;0,J32&lt;1,K32&lt;=0,L32&lt;=0,L32&gt;1),"CHECK INPUTS","CALCULATED ONLY"))</x:f>
        <x:v>INPUTS NEEDED</x:v>
      </x:c>
      <x:c r="E32" s="11"/>
      <x:c r="F32" s="11"/>
      <x:c r="G32" s="11"/>
      <x:c r="H32" s="11"/>
      <x:c r="I32" s="11"/>
      <x:c r="J32" s="11"/>
      <x:c r="K32" s="11"/>
      <x:c r="L32" s="11"/>
      <x:c r="M32" s="2"/>
      <x:c r="N32" s="2"/>
      <x:c r="O32" s="2"/>
    </x:row>
    <x:row r="33" ht="27" customHeight="1">
      <x:c r="A33" s="2" t="str">
        <x:v>Thumb IP flexion</x:v>
      </x:c>
      <x:c r="B33" s="10" t="str">
        <x:f>IF(D33="CALCULATED ONLY",(E33*$B$4*F33+G33+H33+I33)*J33,"")</x:f>
      </x:c>
      <x:c r="C33" s="10" t="str">
        <x:f>IF(D33="CALCULATED ONLY",B33/(K33*L33),"")</x:f>
      </x:c>
      <x:c r="D33" s="2" t="str">
        <x:f>IF(COUNT(E33:L33)&lt;8,"INPUTS NEEDED",IF(OR(MIN(E33:I33)&lt;0,J33&lt;1,K33&lt;=0,L33&lt;=0,L33&gt;1),"CHECK INPUTS","CALCULATED ONLY"))</x:f>
        <x:v>INPUTS NEEDED</x:v>
      </x:c>
      <x:c r="E33" s="11"/>
      <x:c r="F33" s="11"/>
      <x:c r="G33" s="11"/>
      <x:c r="H33" s="11"/>
      <x:c r="I33" s="11"/>
      <x:c r="J33" s="11"/>
      <x:c r="K33" s="11"/>
      <x:c r="L33" s="11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 t="str">
        <x:v>This arithmetic is a worksheet for the virtual axis set. A coupled tendon design needs a mechanism-specific model and may use fewer motors.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 t="str">
        <x:v>Use maximum absolute torque terms for preliminary sizing. A full rigid-body model is required for pose-dependent gravity and inertia.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 t="str">
        <x:v>Never substitute stall torque for continuous output rating. Include gearbox efficiency, brake/support loads and motor thermal limits.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</x:sheetData>
  <x:pageMargins left="0.7" right="0.7" top="0.75" bottom="0.75" header="0.3" footer="0.3"/>
</x:worksheet>
</file>